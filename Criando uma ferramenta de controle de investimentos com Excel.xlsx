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6828612E-F984-4F86-8636-DB5080031D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" sheetId="1" r:id="rId1"/>
    <sheet name="Base" sheetId="2" r:id="rId2"/>
  </sheets>
  <definedNames>
    <definedName name="Rendimento_Carteira">App!$D$12:$D$12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3" i="2"/>
  <c r="A4" i="2"/>
  <c r="A5" i="2"/>
  <c r="A6" i="2"/>
  <c r="A2" i="2"/>
  <c r="C31" i="1"/>
  <c r="D13" i="1"/>
  <c r="C24" i="1"/>
  <c r="D24" i="1" s="1"/>
  <c r="C25" i="1"/>
  <c r="D25" i="1" s="1"/>
  <c r="C26" i="1"/>
  <c r="D26" i="1" s="1"/>
  <c r="C27" i="1"/>
  <c r="D27" i="1" s="1"/>
  <c r="C23" i="1"/>
  <c r="D23" i="1" s="1"/>
  <c r="D19" i="1"/>
  <c r="D20" i="1" s="1" a="1"/>
  <c r="D20" i="1" s="1"/>
  <c r="D35" i="1" l="1"/>
  <c r="D36" i="1"/>
  <c r="D37" i="1"/>
  <c r="D38" i="1"/>
  <c r="D39" i="1"/>
  <c r="D34" i="1"/>
  <c r="D4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<sst xmlns="http://schemas.openxmlformats.org/spreadsheetml/2006/main" count="69" uniqueCount="34">
  <si>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</si>
  <si>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</si>
  <si>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</si>
  <si>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</si>
  <si>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</si>
  <si>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</si>
  <si>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</si>
  <si>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</si>
  <si>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</si>
  <si>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</si>
  <si>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</si>
  <si>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</si>
  <si>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Quanto em 2 anos</t>
  </si>
  <si>
    <t>Quanto em 5 anos</t>
  </si>
  <si>
    <t>Quanto em 10 anos</t>
  </si>
  <si>
    <t>Quanto em 20 anos</t>
  </si>
  <si>
    <t>Quanto em 30 anos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</si>
  <si>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</si>
  <si>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</si>
  <si>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</si>
  <si>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</si>
  <si>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</si>
  <si>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</si>
  <si>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</si>
  <si>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</si>
  <si>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</si>
  <si>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FOF'S</t>
  </si>
  <si>
    <t>DESENVOLVIMENTOS</t>
  </si>
  <si>
    <t>HOTELÁRIOS</t>
  </si>
  <si>
    <t>Chave</t>
  </si>
  <si>
    <t>PERFIL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</si>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</sst>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7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medium">
        <color rgb="FF000000"/>
      </right>
      <top style="medium">
        <color rgb="FF000000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medium">
        <color rgb="FF000000"/>
      </bottom>
      <diagonal/>
    </border>
    <border>
      <left style="medium">
        <color rgb="FF000000"/>
      </left>
      <right style="thin">
        <color theme="0" tint="-0.249977111117893"/>
      </right>
      <top style="medium">
        <color rgb="FF000000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0000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medium">
        <color theme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2" fillId="0" borderId="4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0" fontId="3" fillId="4" borderId="0" xfId="0" applyFont="1" applyFill="1"/>
    <xf numFmtId="164" fontId="2" fillId="3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" borderId="10" xfId="0" applyFont="1" applyFill="1" applyBorder="1" applyAlignment="1">
      <alignment vertical="center"/>
    </xf>
    <xf numFmtId="164" fontId="0" fillId="0" borderId="11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4" fillId="5" borderId="13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0" fillId="3" borderId="23" xfId="0" applyNumberFormat="1" applyFill="1" applyBorder="1" applyAlignment="1">
      <alignment horizontal="center"/>
    </xf>
    <xf numFmtId="164" fontId="2" fillId="3" borderId="25" xfId="0" applyNumberFormat="1" applyFont="1" applyFill="1" applyBorder="1" applyAlignment="1">
      <alignment horizontal="center"/>
    </xf>
    <xf numFmtId="164" fontId="0" fillId="3" borderId="26" xfId="0" applyNumberFormat="1" applyFill="1" applyBorder="1" applyAlignment="1">
      <alignment horizontal="center"/>
    </xf>
    <xf numFmtId="0" fontId="0" fillId="3" borderId="22" xfId="0" applyFill="1" applyBorder="1" applyAlignment="1">
      <alignment indent="3"/>
    </xf>
    <xf numFmtId="0" fontId="0" fillId="3" borderId="24" xfId="0" applyFill="1" applyBorder="1" applyAlignment="1">
      <alignment indent="3"/>
    </xf>
    <xf numFmtId="0" fontId="2" fillId="3" borderId="5" xfId="0" applyFont="1" applyFill="1" applyBorder="1" applyAlignment="1">
      <alignment horizontal="left" indent="3"/>
    </xf>
    <xf numFmtId="0" fontId="2" fillId="3" borderId="16" xfId="0" applyFont="1" applyFill="1" applyBorder="1" applyAlignment="1">
      <alignment horizontal="left" indent="3"/>
    </xf>
    <xf numFmtId="0" fontId="2" fillId="3" borderId="7" xfId="0" applyFont="1" applyFill="1" applyBorder="1" applyAlignment="1">
      <alignment horizontal="left" indent="3"/>
    </xf>
    <xf numFmtId="0" fontId="2" fillId="3" borderId="21" xfId="0" applyFont="1" applyFill="1" applyBorder="1" applyAlignment="1">
      <alignment horizontal="left" indent="3"/>
    </xf>
    <xf numFmtId="0" fontId="0" fillId="6" borderId="15" xfId="0" applyFill="1" applyBorder="1" applyAlignment="1">
      <alignment horizontal="left" indent="3"/>
    </xf>
    <xf numFmtId="0" fontId="0" fillId="6" borderId="16" xfId="0" applyFill="1" applyBorder="1" applyAlignment="1">
      <alignment horizontal="left" indent="3"/>
    </xf>
    <xf numFmtId="0" fontId="0" fillId="6" borderId="17" xfId="0" applyFill="1" applyBorder="1" applyAlignment="1">
      <alignment horizontal="left" indent="3"/>
    </xf>
    <xf numFmtId="0" fontId="0" fillId="6" borderId="18" xfId="0" applyFill="1" applyBorder="1" applyAlignment="1">
      <alignment horizontal="left" indent="3"/>
    </xf>
    <xf numFmtId="0" fontId="0" fillId="6" borderId="3" xfId="0" applyFill="1" applyBorder="1" applyAlignment="1">
      <alignment horizontal="left" indent="3"/>
    </xf>
    <xf numFmtId="0" fontId="0" fillId="6" borderId="19" xfId="0" applyFill="1" applyBorder="1" applyAlignment="1">
      <alignment horizontal="left" indent="3"/>
    </xf>
    <xf numFmtId="0" fontId="0" fillId="6" borderId="5" xfId="0" applyFill="1" applyBorder="1" applyAlignment="1">
      <alignment horizontal="left" indent="3"/>
    </xf>
    <xf numFmtId="0" fontId="0" fillId="7" borderId="0" xfId="0" applyFill="1"/>
    <xf numFmtId="0" fontId="2" fillId="3" borderId="0" xfId="0" applyFont="1" applyFill="1"/>
    <xf numFmtId="0" fontId="0" fillId="7" borderId="0" xfId="0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0" xfId="0" applyFill="1"/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8" borderId="0" xfId="0" applyNumberFormat="1" applyFill="1" applyAlignment="1">
      <alignment horizontal="center"/>
    </xf>
    <xf numFmtId="9" fontId="6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0" fillId="4" borderId="0" xfId="0" applyFill="1"/>
    <xf numFmtId="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27" xfId="0" applyNumberForma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9" fontId="0" fillId="4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DESENVOLVIMENTOS</c:v>
                </c:pt>
                <c:pt idx="5">
                  <c:v>HOTELÁRIOS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A-4C60-84BD-F0A258786DC6}"/>
            </c:ext>
          </c:extLst>
        </c:ser>
        <c:ser>
          <c:idx val="1"/>
          <c:order val="1"/>
          <c:tx>
            <c:strRef>
              <c:f>App!$D$33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DESENVOLVIMENTOS</c:v>
                </c:pt>
                <c:pt idx="5">
                  <c:v>HOTELÁRIOS</c:v>
                </c:pt>
              </c:strCache>
            </c:strRef>
          </c:cat>
          <c:val>
            <c:numRef>
              <c:f>App!$D$34:$D$39</c:f>
              <c:numCache>
                <c:formatCode>[$R$-416]\ #,##0.00</c:formatCode>
                <c:ptCount val="6"/>
                <c:pt idx="0">
                  <c:v>192</c:v>
                </c:pt>
                <c:pt idx="1">
                  <c:v>210</c:v>
                </c:pt>
                <c:pt idx="2">
                  <c:v>48</c:v>
                </c:pt>
                <c:pt idx="3">
                  <c:v>30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EA-4C60-84BD-F0A25878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40</xdr:row>
      <xdr:rowOff>123825</xdr:rowOff>
    </xdr:from>
    <xdr:to>
      <xdr:col>3</xdr:col>
      <xdr:colOff>847725</xdr:colOff>
      <xdr:row>55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972A15-29F3-B012-20B5-6397BCC8DF2A}"/>
            </a:ext>
            <a:ext uri="{147F2762-F138-4A5C-976F-8EAC2B608ADB}">
              <a16:predDERef xmlns:a16="http://schemas.microsoft.com/office/drawing/2014/main" pred="{0506D19B-000A-CC63-3EE0-5F24F95C0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123825</xdr:colOff>
      <xdr:row>0</xdr:row>
      <xdr:rowOff>66675</xdr:rowOff>
    </xdr:from>
    <xdr:to>
      <xdr:col>3</xdr:col>
      <xdr:colOff>876300</xdr:colOff>
      <xdr:row>8</xdr:row>
      <xdr:rowOff>142875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E6E102C-F6F6-C16E-B0B4-A76C6B239C55}"/>
            </a:ext>
            <a:ext uri="{147F2762-F138-4A5C-976F-8EAC2B608ADB}">
              <a16:predDERef xmlns:a16="http://schemas.microsoft.com/office/drawing/2014/main" pred="{F6972A15-29F3-B012-20B5-6397BCC8D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7450" y="66675"/>
          <a:ext cx="2857500" cy="1600200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0</xdr:row>
      <xdr:rowOff>66675</xdr:rowOff>
    </xdr:from>
    <xdr:to>
      <xdr:col>2</xdr:col>
      <xdr:colOff>133350</xdr:colOff>
      <xdr:row>8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AC95732-5D82-C2FE-951B-2B086F554F8B}"/>
            </a:ext>
            <a:ext uri="{147F2762-F138-4A5C-976F-8EAC2B608ADB}">
              <a16:predDERef xmlns:a16="http://schemas.microsoft.com/office/drawing/2014/main" pred="{EE6E102C-F6F6-C16E-B0B4-A76C6B239C55}"/>
            </a:ext>
          </a:extLst>
        </xdr:cNvPr>
        <xdr:cNvSpPr txBox="1"/>
      </xdr:nvSpPr>
      <xdr:spPr>
        <a:xfrm>
          <a:off x="209550" y="66675"/>
          <a:ext cx="2257425" cy="1590675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INVESTIMENTOS NACIONAIS SANTANDER ACADEMY / D.I.O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G40"/>
  <sheetViews>
    <sheetView showGridLines="0" showRowColHeaders="0" tabSelected="1" topLeftCell="A19" workbookViewId="0">
      <selection activeCell="C30" sqref="C30"/>
    </sheetView>
  </sheetViews>
  <sheetFormatPr defaultColWidth="0" defaultRowHeight="15"/>
  <cols>
    <col min="1" max="1" width="3.42578125" customWidth="1"/>
    <col min="2" max="3" width="31.5703125" customWidth="1"/>
    <col min="4" max="4" width="13.85546875" bestFit="1" customWidth="1"/>
    <col min="5" max="5" width="4.7109375" customWidth="1"/>
    <col min="6" max="7" width="4.7109375" hidden="1" customWidth="1"/>
  </cols>
  <sheetData>
    <row r="10" spans="2:4" ht="21">
      <c r="B10" s="11" t="s">
        <v>0</v>
      </c>
      <c r="C10" s="12"/>
      <c r="D10" s="7"/>
    </row>
    <row r="11" spans="2:4">
      <c r="B11" s="28" t="s">
        <v>1</v>
      </c>
      <c r="C11" s="29"/>
      <c r="D11" s="8">
        <v>2000</v>
      </c>
    </row>
    <row r="12" spans="2:4">
      <c r="B12" s="28" t="s">
        <v>2</v>
      </c>
      <c r="C12" s="29"/>
      <c r="D12" s="9">
        <v>6.0000000000000001E-3</v>
      </c>
    </row>
    <row r="13" spans="2:4">
      <c r="B13" s="30" t="s">
        <v>3</v>
      </c>
      <c r="C13" s="31"/>
      <c r="D13" s="10">
        <f>D11*30%</f>
        <v>600</v>
      </c>
    </row>
    <row r="15" spans="2:4" ht="42.75" customHeight="1">
      <c r="B15" s="14" t="s">
        <v>4</v>
      </c>
      <c r="C15" s="17"/>
      <c r="D15" s="13"/>
    </row>
    <row r="16" spans="2:4">
      <c r="B16" s="32" t="s">
        <v>5</v>
      </c>
      <c r="C16" s="33"/>
      <c r="D16" s="1">
        <v>600</v>
      </c>
    </row>
    <row r="17" spans="1:4">
      <c r="B17" s="34" t="s">
        <v>6</v>
      </c>
      <c r="C17" s="29"/>
      <c r="D17" s="2">
        <v>5</v>
      </c>
    </row>
    <row r="18" spans="1:4">
      <c r="B18" s="34" t="s">
        <v>7</v>
      </c>
      <c r="C18" s="29"/>
      <c r="D18" s="3">
        <v>1.0789999999999999E-2</v>
      </c>
    </row>
    <row r="19" spans="1:4">
      <c r="B19" s="24" t="s">
        <v>8</v>
      </c>
      <c r="C19" s="25"/>
      <c r="D19" s="15">
        <f>FV(D18,D17*12,D16*-1)</f>
        <v>50266.148399092584</v>
      </c>
    </row>
    <row r="20" spans="1:4">
      <c r="B20" s="26" t="s">
        <v>9</v>
      </c>
      <c r="C20" s="27"/>
      <c r="D20" s="16" cm="1">
        <f t="array" ref="D20">D19*Rendimento_Carteira</f>
        <v>301.59689039455549</v>
      </c>
    </row>
    <row r="22" spans="1:4" ht="26.25">
      <c r="B22" s="14" t="s">
        <v>10</v>
      </c>
      <c r="C22" s="17"/>
      <c r="D22" s="18" t="s">
        <v>11</v>
      </c>
    </row>
    <row r="23" spans="1:4">
      <c r="A23" s="4">
        <v>2</v>
      </c>
      <c r="B23" s="22" t="s">
        <v>12</v>
      </c>
      <c r="C23" s="5">
        <f>FV($D$18,$A23*12,$D$16*-1)</f>
        <v>16336.57637858713</v>
      </c>
      <c r="D23" s="19">
        <f>C23*$D$12</f>
        <v>98.01945827152278</v>
      </c>
    </row>
    <row r="24" spans="1:4">
      <c r="A24" s="4">
        <v>5</v>
      </c>
      <c r="B24" s="22" t="s">
        <v>13</v>
      </c>
      <c r="C24" s="5">
        <f>FV($D$18,$A24*12,$D$16*-1)</f>
        <v>50266.148399092584</v>
      </c>
      <c r="D24" s="19">
        <f>C24*$D$12</f>
        <v>301.59689039455549</v>
      </c>
    </row>
    <row r="25" spans="1:4">
      <c r="A25" s="4">
        <v>10</v>
      </c>
      <c r="B25" s="22" t="s">
        <v>14</v>
      </c>
      <c r="C25" s="5">
        <f>FV($D$18,$A25*12,$D$16*-1)</f>
        <v>145970.52751810331</v>
      </c>
      <c r="D25" s="19">
        <f>C25*$D$12</f>
        <v>875.82316510861983</v>
      </c>
    </row>
    <row r="26" spans="1:4">
      <c r="A26" s="4">
        <v>20</v>
      </c>
      <c r="B26" s="22" t="s">
        <v>15</v>
      </c>
      <c r="C26" s="5">
        <f>FV($D$18,$A26*12,$D$16*-1)</f>
        <v>675119.04005824833</v>
      </c>
      <c r="D26" s="19">
        <f>C26*$D$12</f>
        <v>4050.71424034949</v>
      </c>
    </row>
    <row r="27" spans="1:4">
      <c r="A27" s="4">
        <v>30</v>
      </c>
      <c r="B27" s="23" t="s">
        <v>16</v>
      </c>
      <c r="C27" s="20">
        <f>FV($D$18,$A27*12,$D$16*-1)</f>
        <v>2593301.7930028285</v>
      </c>
      <c r="D27" s="21">
        <f>C27*$D$12</f>
        <v>15559.810758016971</v>
      </c>
    </row>
    <row r="30" spans="1:4">
      <c r="B30" s="35" t="s">
        <v>17</v>
      </c>
      <c r="C30" s="37" t="s">
        <v>18</v>
      </c>
      <c r="D30" s="35"/>
    </row>
    <row r="31" spans="1:4">
      <c r="B31" s="36" t="s">
        <v>19</v>
      </c>
      <c r="C31" s="38">
        <f>D16</f>
        <v>600</v>
      </c>
      <c r="D31" s="36"/>
    </row>
    <row r="33" spans="2:4">
      <c r="B33" s="39" t="s">
        <v>20</v>
      </c>
      <c r="C33" s="39" t="s">
        <v>21</v>
      </c>
      <c r="D33" s="39" t="s">
        <v>22</v>
      </c>
    </row>
    <row r="34" spans="2:4">
      <c r="B34" s="6" t="s">
        <v>23</v>
      </c>
      <c r="C34" s="41">
        <f>VLOOKUP($C$30&amp;"-"&amp;$B34,Base!A:D,4,FALSE)</f>
        <v>0.32</v>
      </c>
      <c r="D34" s="42">
        <f>C34*$C$31</f>
        <v>192</v>
      </c>
    </row>
    <row r="35" spans="2:4">
      <c r="B35" s="6" t="s">
        <v>24</v>
      </c>
      <c r="C35" s="41">
        <f>VLOOKUP($C$30&amp;"-"&amp;$B35,Base!A:D,4,FALSE)</f>
        <v>0.35</v>
      </c>
      <c r="D35" s="42">
        <f t="shared" ref="D35:D39" si="0">C35*$C$31</f>
        <v>210</v>
      </c>
    </row>
    <row r="36" spans="2:4">
      <c r="B36" s="6" t="s">
        <v>25</v>
      </c>
      <c r="C36" s="41">
        <f>VLOOKUP($C$30&amp;"-"&amp;$B36,Base!A:D,4,FALSE)</f>
        <v>0.08</v>
      </c>
      <c r="D36" s="42">
        <f t="shared" si="0"/>
        <v>48</v>
      </c>
    </row>
    <row r="37" spans="2:4">
      <c r="B37" s="6" t="s">
        <v>26</v>
      </c>
      <c r="C37" s="41">
        <f>VLOOKUP($C$30&amp;"-"&amp;$B37,Base!A:D,4,FALSE)</f>
        <v>0.05</v>
      </c>
      <c r="D37" s="42">
        <f t="shared" si="0"/>
        <v>30</v>
      </c>
    </row>
    <row r="38" spans="2:4">
      <c r="B38" s="6" t="s">
        <v>27</v>
      </c>
      <c r="C38" s="41">
        <f>VLOOKUP($C$30&amp;"-"&amp;$B38,Base!A:D,4,FALSE)</f>
        <v>0.1</v>
      </c>
      <c r="D38" s="42">
        <f t="shared" si="0"/>
        <v>60</v>
      </c>
    </row>
    <row r="39" spans="2:4">
      <c r="B39" s="6" t="s">
        <v>28</v>
      </c>
      <c r="C39" s="41">
        <f>VLOOKUP($C$30&amp;"-"&amp;$B39,Base!A:D,4,FALSE)</f>
        <v>0.1</v>
      </c>
      <c r="D39" s="42">
        <f t="shared" si="0"/>
        <v>60</v>
      </c>
    </row>
    <row r="40" spans="2:4">
      <c r="B40" s="40"/>
      <c r="C40" s="40"/>
      <c r="D40" s="43">
        <f>SUM(D34:D39)</f>
        <v>600</v>
      </c>
    </row>
  </sheetData>
  <mergeCells count="11">
    <mergeCell ref="B15:C15"/>
    <mergeCell ref="B22:C22"/>
    <mergeCell ref="B10:C10"/>
    <mergeCell ref="B11:C11"/>
    <mergeCell ref="B12:C12"/>
    <mergeCell ref="B13:C13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C30" xr:uid="{4C83815A-7BB5-4CC3-AAD6-A691ECE2B356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95F7-A2A4-49B8-A97F-1CFF0D0D5ED4}">
  <dimension ref="A1:D19"/>
  <sheetViews>
    <sheetView workbookViewId="0">
      <selection activeCell="G7" sqref="G7"/>
    </sheetView>
  </sheetViews>
  <sheetFormatPr defaultRowHeight="15"/>
  <cols>
    <col min="1" max="1" width="32.140625" style="48" bestFit="1" customWidth="1"/>
    <col min="2" max="2" width="20.140625" style="48" bestFit="1" customWidth="1"/>
    <col min="3" max="3" width="20.140625" style="46" bestFit="1" customWidth="1"/>
    <col min="4" max="4" width="9.140625" style="47"/>
    <col min="5" max="16384" width="9.140625" style="46"/>
  </cols>
  <sheetData>
    <row r="1" spans="1:4">
      <c r="A1" s="44" t="s">
        <v>29</v>
      </c>
      <c r="B1" s="45" t="s">
        <v>30</v>
      </c>
      <c r="C1" s="45" t="s">
        <v>20</v>
      </c>
      <c r="D1" s="44" t="s">
        <v>31</v>
      </c>
    </row>
    <row r="2" spans="1:4">
      <c r="A2" s="47" t="str">
        <f>B2&amp;"-"&amp;C2</f>
        <v>Conservador-PAPEL</v>
      </c>
      <c r="B2" s="48" t="s">
        <v>32</v>
      </c>
      <c r="C2" s="48" t="s">
        <v>23</v>
      </c>
      <c r="D2" s="47">
        <v>0.3</v>
      </c>
    </row>
    <row r="3" spans="1:4">
      <c r="A3" s="47" t="str">
        <f t="shared" ref="A3:A19" si="0">B3&amp;"-"&amp;C3</f>
        <v>Conservador-TIJOLO</v>
      </c>
      <c r="B3" s="48" t="s">
        <v>32</v>
      </c>
      <c r="C3" s="48" t="s">
        <v>24</v>
      </c>
      <c r="D3" s="47">
        <v>0.5</v>
      </c>
    </row>
    <row r="4" spans="1:4">
      <c r="A4" s="47" t="str">
        <f t="shared" si="0"/>
        <v>Conservador-HIBRIDOS</v>
      </c>
      <c r="B4" s="48" t="s">
        <v>32</v>
      </c>
      <c r="C4" s="48" t="s">
        <v>25</v>
      </c>
      <c r="D4" s="47">
        <v>0.1</v>
      </c>
    </row>
    <row r="5" spans="1:4">
      <c r="A5" s="47" t="str">
        <f t="shared" si="0"/>
        <v>Conservador-FOF'S</v>
      </c>
      <c r="B5" s="48" t="s">
        <v>32</v>
      </c>
      <c r="C5" s="48" t="s">
        <v>26</v>
      </c>
      <c r="D5" s="47">
        <v>0.1</v>
      </c>
    </row>
    <row r="6" spans="1:4">
      <c r="A6" s="47" t="str">
        <f t="shared" si="0"/>
        <v>Conservador-DESENVOLVIMENTOS</v>
      </c>
      <c r="B6" s="48" t="s">
        <v>32</v>
      </c>
      <c r="C6" s="48" t="s">
        <v>27</v>
      </c>
      <c r="D6" s="47">
        <v>0</v>
      </c>
    </row>
    <row r="7" spans="1:4">
      <c r="A7" s="49" t="str">
        <f t="shared" si="0"/>
        <v>Conservador-HOTELÁRIOS</v>
      </c>
      <c r="B7" s="50" t="s">
        <v>32</v>
      </c>
      <c r="C7" s="50" t="s">
        <v>28</v>
      </c>
      <c r="D7" s="49">
        <v>0</v>
      </c>
    </row>
    <row r="8" spans="1:4">
      <c r="A8" s="48" t="str">
        <f t="shared" si="0"/>
        <v>Moderado-PAPEL</v>
      </c>
      <c r="B8" s="48" t="s">
        <v>18</v>
      </c>
      <c r="C8" s="48" t="s">
        <v>23</v>
      </c>
      <c r="D8" s="47">
        <v>0.32</v>
      </c>
    </row>
    <row r="9" spans="1:4">
      <c r="A9" s="48" t="str">
        <f t="shared" si="0"/>
        <v>Moderado-TIJOLO</v>
      </c>
      <c r="B9" s="48" t="s">
        <v>18</v>
      </c>
      <c r="C9" s="48" t="s">
        <v>24</v>
      </c>
      <c r="D9" s="47">
        <v>0.35</v>
      </c>
    </row>
    <row r="10" spans="1:4">
      <c r="A10" s="48" t="str">
        <f t="shared" si="0"/>
        <v>Moderado-HIBRIDOS</v>
      </c>
      <c r="B10" s="48" t="s">
        <v>18</v>
      </c>
      <c r="C10" s="48" t="s">
        <v>25</v>
      </c>
      <c r="D10" s="47">
        <v>0.08</v>
      </c>
    </row>
    <row r="11" spans="1:4">
      <c r="A11" s="48" t="str">
        <f t="shared" si="0"/>
        <v>Moderado-FOF'S</v>
      </c>
      <c r="B11" s="48" t="s">
        <v>18</v>
      </c>
      <c r="C11" s="48" t="s">
        <v>26</v>
      </c>
      <c r="D11" s="47">
        <v>0.05</v>
      </c>
    </row>
    <row r="12" spans="1:4">
      <c r="A12" s="51" t="str">
        <f t="shared" si="0"/>
        <v>Moderado-DESENVOLVIMENTOS</v>
      </c>
      <c r="B12" s="51" t="s">
        <v>18</v>
      </c>
      <c r="C12" s="51" t="s">
        <v>27</v>
      </c>
      <c r="D12" s="52">
        <v>0.1</v>
      </c>
    </row>
    <row r="13" spans="1:4">
      <c r="A13" s="50" t="str">
        <f t="shared" si="0"/>
        <v>Moderado-HOTELÁRIOS</v>
      </c>
      <c r="B13" s="50" t="s">
        <v>18</v>
      </c>
      <c r="C13" s="50" t="s">
        <v>28</v>
      </c>
      <c r="D13" s="49">
        <v>0.1</v>
      </c>
    </row>
    <row r="14" spans="1:4">
      <c r="A14" s="48" t="str">
        <f t="shared" si="0"/>
        <v>Agressivo-PAPEL</v>
      </c>
      <c r="B14" s="48" t="s">
        <v>33</v>
      </c>
      <c r="C14" s="48" t="s">
        <v>23</v>
      </c>
      <c r="D14" s="47">
        <v>0.5</v>
      </c>
    </row>
    <row r="15" spans="1:4">
      <c r="A15" s="48" t="str">
        <f t="shared" si="0"/>
        <v>Agressivo-TIJOLO</v>
      </c>
      <c r="B15" s="48" t="s">
        <v>33</v>
      </c>
      <c r="C15" s="48" t="s">
        <v>24</v>
      </c>
      <c r="D15" s="47">
        <v>0.1</v>
      </c>
    </row>
    <row r="16" spans="1:4">
      <c r="A16" s="48" t="str">
        <f t="shared" si="0"/>
        <v>Agressivo-HIBRIDOS</v>
      </c>
      <c r="B16" s="48" t="s">
        <v>33</v>
      </c>
      <c r="C16" s="48" t="s">
        <v>25</v>
      </c>
      <c r="D16" s="47">
        <v>0.05</v>
      </c>
    </row>
    <row r="17" spans="1:4">
      <c r="A17" s="48" t="str">
        <f t="shared" si="0"/>
        <v>Agressivo-FOF'S</v>
      </c>
      <c r="B17" s="48" t="s">
        <v>33</v>
      </c>
      <c r="C17" s="48" t="s">
        <v>26</v>
      </c>
      <c r="D17" s="47">
        <v>0.05</v>
      </c>
    </row>
    <row r="18" spans="1:4">
      <c r="A18" s="48" t="str">
        <f t="shared" si="0"/>
        <v>Agressivo-DESENVOLVIMENTOS</v>
      </c>
      <c r="B18" s="48" t="s">
        <v>33</v>
      </c>
      <c r="C18" s="48" t="s">
        <v>27</v>
      </c>
      <c r="D18" s="47">
        <v>0.2</v>
      </c>
    </row>
    <row r="19" spans="1:4">
      <c r="A19" s="48" t="str">
        <f t="shared" si="0"/>
        <v>Agressivo-HOTELÁRIOS</v>
      </c>
      <c r="B19" s="48" t="s">
        <v>33</v>
      </c>
      <c r="C19" s="48" t="s">
        <v>28</v>
      </c>
      <c r="D19" s="4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2026-01-19T12:38:17Z</dcterms:created>
  <dcterms:modified xsi:type="dcterms:W3CDTF">2026-01-19T15:03:56Z</dcterms:modified>
  <cp:category/>
  <cp:contentStatus/>
</cp:coreProperties>
</file>